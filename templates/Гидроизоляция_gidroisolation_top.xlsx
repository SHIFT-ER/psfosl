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pavel_sab/Documents/Приложение для лаборатории/"/>
    </mc:Choice>
  </mc:AlternateContent>
  <xr:revisionPtr revIDLastSave="0" documentId="13_ncr:1_{A914961D-B3DC-3947-B990-A0C40180F163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№1" sheetId="36" r:id="rId1"/>
  </sheets>
  <definedNames>
    <definedName name="_xlnm.Print_Area" localSheetId="0">№1!$C$3:$R$66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6" l="1"/>
  <c r="C25" i="36"/>
  <c r="C26" i="36"/>
  <c r="M22" i="36" l="1"/>
  <c r="C31" i="36" s="1"/>
</calcChain>
</file>

<file path=xl/sharedStrings.xml><?xml version="1.0" encoding="utf-8"?>
<sst xmlns="http://schemas.openxmlformats.org/spreadsheetml/2006/main" count="55" uniqueCount="55">
  <si>
    <t>1 слой гидроизоляции с бетонным основанием</t>
  </si>
  <si>
    <t>1.9. Схема расположения испытаний: см. приложение 1.</t>
  </si>
  <si>
    <t>УТВЕРЖДАЮ</t>
  </si>
  <si>
    <t xml:space="preserve">                  определение прочности сцепления гидроизоляционных материалов</t>
  </si>
  <si>
    <t>1. ОБЩАЯ ЧАСТЬ.</t>
  </si>
  <si>
    <t>Объект</t>
  </si>
  <si>
    <t>Заказчик</t>
  </si>
  <si>
    <t>1.5. Регламентирующая нормативная документация: ГОСТ 28574-14, СП 71.13330.2017.</t>
  </si>
  <si>
    <t xml:space="preserve">Договор </t>
  </si>
  <si>
    <t xml:space="preserve">1.6. Методика проведения работ: величина адгезии произведена методом количественного определения адгезии защитных покрытий по силе отрыва, согласно ГОСТ 28574-14. Число испытаний принято, согласно п. 5.3.1 и 5.7.2, ГОСТ 28574-14. Оценка прочности сцепления слоев гидроизоляционного материала производилась в соответствии с  СП 71.13330.2017 «Изоляционные и отделочные покрытия». </t>
  </si>
  <si>
    <t>1.8. Результаты испытаний: см. табл. 1.</t>
  </si>
  <si>
    <t>Название прибора</t>
  </si>
  <si>
    <t>Зав. №</t>
  </si>
  <si>
    <t>Действителен до</t>
  </si>
  <si>
    <t>Измеритель</t>
  </si>
  <si>
    <t>ПСО-5МГ4С</t>
  </si>
  <si>
    <t>2. ОПИСАТЕЛЬНАЯ ЧАСТЬ МЕТОДИКИ ПРОВЕДЕНИЯ РАБОТ.</t>
  </si>
  <si>
    <t xml:space="preserve">    При испытании адгезии покрытий в производственных условиях на каждом виде защищаемой конструкции выбирают не менее пяти участков на 80-100 м2 поверхности покрытия на расстоянии между ними не менее 300 мм. На существующее лакокрасочное покрытие наклеивают металлические диски в соответствии с 5.2.9 и 5.2.12, ГОСТ 28574-14.</t>
  </si>
  <si>
    <t xml:space="preserve">    Для испытания адгезии покрытий к поверхности незащищенных конструкций на каждом виде конструкции определяют по одному участку площадью не менее 0,5 м, поверхность которого подготавливают в соответствии с 5.2.8, ГОСТ 28574-14.</t>
  </si>
  <si>
    <t xml:space="preserve">    Определение адгезии покрытий с поверхностью конструкции осуществляют по окончании срока полного отверждения клея путем отрыва металлических дисков.</t>
  </si>
  <si>
    <t xml:space="preserve">    При отрыве покрытия от бетона величину адгезии R, МПа, вычисляют по формуле:</t>
  </si>
  <si>
    <t>где F - значение силы, при которой произошел отрыв, Н;</t>
  </si>
  <si>
    <t xml:space="preserve">     А -  площадь отрыва, мм2.</t>
  </si>
  <si>
    <t xml:space="preserve">    Каждое единичное значение прочности сцепления округляют до 0,1 МПа.</t>
  </si>
  <si>
    <t xml:space="preserve">    При обработке результатов пяти испытаний исключают экстремальные значения и определяют среднеарифметическое значение не менее чем по трем образцам. Результаты, отличающиеся от среднеарифметического значения более чем на 15%, считаются недействительными, и испытания повторяют. В случае неудовлетворительного результата повторных испытаний среднеарифметическое значение не определяют, а в протоколе испытаний приводят фактические значения величины адгезии, полученные при пяти испытаний.</t>
  </si>
  <si>
    <t xml:space="preserve">    Отрыв диска по системе покрытия или по телу бетона позволяет считать, что адгезия покрытия к бетону больше, чем прочность материала покрытия или прочность бетона на растяжение.</t>
  </si>
  <si>
    <t xml:space="preserve">    При отрыве диска по клею испытание необходимо повторить с использованием другого склеивающего состава с более высокими адгезионными свойствами.</t>
  </si>
  <si>
    <t xml:space="preserve">    Согласно СП 71.13330.2017, прочность сцепления рулонного материала с поверхностью основания и между слоями должна быть не менее 0,1 МПа.</t>
  </si>
  <si>
    <t>3. РЕЗУЛЬТАТЫ ПРОВЕДЕНИЯ ИСПЫТАНИЙ.</t>
  </si>
  <si>
    <t xml:space="preserve">                                                         Результаты испытаний сцепления гидроизоляционных материалов</t>
  </si>
  <si>
    <t>Таблица 1</t>
  </si>
  <si>
    <t>№ участка испытаний</t>
  </si>
  <si>
    <t>Расположение контролируемого участка</t>
  </si>
  <si>
    <t>Дата проведения работ</t>
  </si>
  <si>
    <t>Испытываемый слой гидроизоляции</t>
  </si>
  <si>
    <t>Площадь отрыва, см2</t>
  </si>
  <si>
    <t>Значение силы, кН</t>
  </si>
  <si>
    <t>Величина адгезии, МПа</t>
  </si>
  <si>
    <t>Среднее значение адгезии, МПа</t>
  </si>
  <si>
    <t>Нормативное значение, МПа</t>
  </si>
  <si>
    <t>Соответствие нормативной документации</t>
  </si>
  <si>
    <t xml:space="preserve"> -15% от ср.</t>
  </si>
  <si>
    <t xml:space="preserve"> +15% от ср.</t>
  </si>
  <si>
    <t>Показания</t>
  </si>
  <si>
    <t>1 слой гидроизоляции с битумным праймером</t>
  </si>
  <si>
    <t>2 (второй) слой гидроизоляции с 1 (первым) слоем гидроизоляции</t>
  </si>
  <si>
    <t>Генеральный директор</t>
  </si>
  <si>
    <t>Вед. инженер __________________ Сергеев Д.А.</t>
  </si>
  <si>
    <t>1.4. Испытываемый материалы: «Техноэласт ЭПП».</t>
  </si>
  <si>
    <t xml:space="preserve"> ООО "МЕГАПОЛИС"</t>
  </si>
  <si>
    <t>_______________Е.А. Смирнова</t>
  </si>
  <si>
    <t>ПРОТОКОЛ №1/Г от</t>
  </si>
  <si>
    <t>«Лабораторное сопровождение на объекте: Многофункциональный жилой комплекс. Этап 1» по адресу: г. Москва, Ильменский пр., вл. 8, к. 3, з/у 8А, з/у 10/1, в том числе: Корпус 3 (башня С) (40-5 этажей); Подземная автостоянка в границах этапа 1 (2 этажа)»</t>
  </si>
  <si>
    <t>ООО «АК-БИЛДИНГ»</t>
  </si>
  <si>
    <t>№ 08-ИЛ/24 от 07 марта 2024г.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</si>
</sst>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8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2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4"/>
      <color indexed="8"/>
      <name val="Batang"/>
      <family val="1"/>
      <charset val="204"/>
    </font>
    <font>
      <sz val="14"/>
      <name val="Batang"/>
      <family val="1"/>
      <charset val="204"/>
    </font>
    <font>
      <sz val="14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Batang"/>
      <family val="1"/>
      <charset val="204"/>
    </font>
    <font>
      <b/>
      <sz val="16"/>
      <color indexed="8"/>
      <name val="Times New Roman"/>
      <family val="1"/>
      <charset val="204"/>
    </font>
    <font>
      <b/>
      <sz val="15.5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0"/>
      <name val="Arial Cyr"/>
      <charset val="204"/>
    </font>
    <font>
      <b/>
      <sz val="8"/>
      <name val="Times New Roman"/>
      <family val="1"/>
      <charset val="204"/>
    </font>
    <font>
      <sz val="18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sz val="12"/>
      <name val="Times New Roman"/>
      <family val="1"/>
      <charset val="204"/>
    </font>
    <font>
      <sz val="16"/>
      <name val="Arial Cyr"/>
      <charset val="204"/>
    </font>
    <font>
      <u/>
      <sz val="16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 Cyr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9" fontId="1" fillId="0" borderId="0" applyBorder="0" applyAlignment="0" applyProtection="0"/>
  </cellStyleXfs>
  <cellXfs count="101">
    <xf numFmtId="0" fontId="0" fillId="0" borderId="0" xfId="0"/>
    <xf numFmtId="0" fontId="0" fillId="0" borderId="0" xfId="0" applyAlignment="1" applyProtection="1">
      <alignment horizontal="center" vertical="center" wrapText="1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right"/>
      <protection locked="0"/>
    </xf>
    <xf numFmtId="0" fontId="21" fillId="2" borderId="0" xfId="0" applyFont="1" applyFill="1" applyAlignment="1" applyProtection="1">
      <alignment vertical="center" textRotation="90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9" fontId="0" fillId="0" borderId="3" xfId="0" applyNumberForma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9" fillId="0" borderId="0" xfId="0" applyFont="1" applyProtection="1">
      <protection locked="0"/>
    </xf>
    <xf numFmtId="0" fontId="0" fillId="0" borderId="0" xfId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1" applyFont="1" applyProtection="1">
      <protection locked="0"/>
    </xf>
    <xf numFmtId="0" fontId="1" fillId="0" borderId="0" xfId="1" applyProtection="1">
      <protection locked="0"/>
    </xf>
    <xf numFmtId="0" fontId="5" fillId="0" borderId="0" xfId="1" applyFont="1" applyAlignment="1" applyProtection="1">
      <alignment vertical="top" wrapText="1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9" fillId="0" borderId="0" xfId="1" applyFont="1" applyProtection="1">
      <protection locked="0"/>
    </xf>
    <xf numFmtId="0" fontId="12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5" fillId="2" borderId="0" xfId="1" applyFont="1" applyFill="1" applyAlignment="1" applyProtection="1">
      <alignment horizontal="center" vertical="center" wrapText="1"/>
      <protection locked="0"/>
    </xf>
    <xf numFmtId="0" fontId="17" fillId="3" borderId="0" xfId="2" applyFont="1" applyFill="1" applyAlignment="1" applyProtection="1">
      <alignment horizontal="center" vertical="center"/>
      <protection locked="0"/>
    </xf>
    <xf numFmtId="0" fontId="17" fillId="0" borderId="0" xfId="2" applyFont="1" applyAlignment="1" applyProtection="1">
      <alignment horizontal="center" vertical="center"/>
      <protection locked="0"/>
    </xf>
    <xf numFmtId="0" fontId="18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19" fillId="2" borderId="0" xfId="1" applyFont="1" applyFill="1" applyAlignment="1" applyProtection="1">
      <alignment vertical="center" wrapText="1"/>
      <protection locked="0"/>
    </xf>
    <xf numFmtId="0" fontId="19" fillId="2" borderId="0" xfId="1" applyFont="1" applyFill="1" applyAlignment="1" applyProtection="1">
      <alignment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8" fillId="0" borderId="0" xfId="1" applyFont="1" applyAlignment="1" applyProtection="1">
      <alignment horizontal="left" wrapText="1"/>
      <protection locked="0"/>
    </xf>
    <xf numFmtId="0" fontId="22" fillId="0" borderId="0" xfId="1" applyFont="1" applyProtection="1">
      <protection locked="0"/>
    </xf>
    <xf numFmtId="0" fontId="23" fillId="0" borderId="0" xfId="1" applyFont="1" applyProtection="1">
      <protection locked="0"/>
    </xf>
    <xf numFmtId="0" fontId="9" fillId="0" borderId="0" xfId="1" applyFont="1" applyAlignment="1" applyProtection="1">
      <alignment horizontal="left"/>
      <protection locked="0"/>
    </xf>
    <xf numFmtId="0" fontId="24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top" wrapText="1"/>
      <protection locked="0"/>
    </xf>
    <xf numFmtId="0" fontId="19" fillId="4" borderId="0" xfId="0" applyFont="1" applyFill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right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19" fillId="4" borderId="3" xfId="0" applyFont="1" applyFill="1" applyBorder="1" applyAlignment="1" applyProtection="1">
      <alignment horizontal="center" vertical="center" wrapText="1"/>
      <protection locked="0"/>
    </xf>
    <xf numFmtId="0" fontId="25" fillId="4" borderId="3" xfId="0" applyFont="1" applyFill="1" applyBorder="1" applyAlignment="1" applyProtection="1">
      <alignment horizontal="center" vertical="center" wrapText="1"/>
      <protection locked="0"/>
    </xf>
    <xf numFmtId="0" fontId="19" fillId="4" borderId="0" xfId="0" applyFont="1" applyFill="1" applyAlignment="1" applyProtection="1">
      <alignment vertical="center" wrapText="1"/>
      <protection locked="0"/>
    </xf>
    <xf numFmtId="0" fontId="25" fillId="4" borderId="4" xfId="0" applyFont="1" applyFill="1" applyBorder="1" applyAlignment="1" applyProtection="1">
      <alignment horizontal="center" vertical="center" wrapText="1"/>
      <protection locked="0"/>
    </xf>
    <xf numFmtId="0" fontId="25" fillId="4" borderId="4" xfId="0" applyFont="1" applyFill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19" fillId="4" borderId="0" xfId="0" applyFont="1" applyFill="1" applyAlignment="1" applyProtection="1">
      <alignment horizontal="center" vertical="center" wrapText="1"/>
      <protection locked="0"/>
    </xf>
    <xf numFmtId="0" fontId="25" fillId="4" borderId="4" xfId="0" applyFont="1" applyFill="1" applyBorder="1" applyAlignment="1" applyProtection="1">
      <alignment horizontal="center" vertical="center" wrapText="1"/>
      <protection locked="0"/>
    </xf>
    <xf numFmtId="0" fontId="25" fillId="4" borderId="7" xfId="0" applyFont="1" applyFill="1" applyBorder="1" applyAlignment="1" applyProtection="1">
      <alignment horizontal="center" vertical="center" wrapText="1"/>
      <protection locked="0"/>
    </xf>
    <xf numFmtId="0" fontId="25" fillId="4" borderId="8" xfId="0" applyFont="1" applyFill="1" applyBorder="1" applyAlignment="1" applyProtection="1">
      <alignment horizontal="center" vertical="center" wrapText="1"/>
      <protection locked="0"/>
    </xf>
    <xf numFmtId="0" fontId="19" fillId="4" borderId="3" xfId="0" applyFont="1" applyFill="1" applyBorder="1" applyAlignment="1" applyProtection="1">
      <alignment horizontal="center" vertical="center" wrapText="1"/>
      <protection locked="0"/>
    </xf>
    <xf numFmtId="0" fontId="25" fillId="4" borderId="3" xfId="0" applyFont="1" applyFill="1" applyBorder="1" applyAlignment="1" applyProtection="1">
      <alignment horizontal="center" vertical="center" wrapText="1"/>
      <protection locked="0"/>
    </xf>
    <xf numFmtId="0" fontId="19" fillId="4" borderId="6" xfId="0" applyFont="1" applyFill="1" applyBorder="1" applyAlignment="1" applyProtection="1">
      <alignment horizontal="center" vertical="center" wrapText="1"/>
      <protection locked="0"/>
    </xf>
    <xf numFmtId="0" fontId="19" fillId="4" borderId="2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justify" vertical="center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21" fillId="2" borderId="2" xfId="0" applyFont="1" applyFill="1" applyBorder="1" applyAlignment="1" applyProtection="1">
      <alignment horizontal="center" vertical="center"/>
      <protection locked="0"/>
    </xf>
    <xf numFmtId="0" fontId="21" fillId="2" borderId="3" xfId="0" applyFont="1" applyFill="1" applyBorder="1" applyAlignment="1" applyProtection="1">
      <alignment horizontal="center" vertical="center"/>
      <protection locked="0"/>
    </xf>
    <xf numFmtId="1" fontId="21" fillId="0" borderId="3" xfId="0" applyNumberFormat="1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49" fontId="21" fillId="0" borderId="3" xfId="0" applyNumberFormat="1" applyFont="1" applyBorder="1" applyAlignment="1" applyProtection="1">
      <alignment horizontal="center" vertical="center"/>
      <protection locked="0"/>
    </xf>
    <xf numFmtId="14" fontId="21" fillId="0" borderId="3" xfId="0" applyNumberFormat="1" applyFont="1" applyBorder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left" vertical="center"/>
      <protection locked="0"/>
    </xf>
    <xf numFmtId="0" fontId="19" fillId="0" borderId="0" xfId="1" applyFont="1" applyAlignment="1" applyProtection="1">
      <alignment horizontal="justify" vertical="center" wrapText="1"/>
      <protection locked="0"/>
    </xf>
    <xf numFmtId="0" fontId="8" fillId="0" borderId="0" xfId="1" applyFont="1" applyAlignment="1" applyProtection="1">
      <alignment horizontal="left" wrapText="1"/>
      <protection locked="0"/>
    </xf>
    <xf numFmtId="0" fontId="21" fillId="2" borderId="0" xfId="0" applyFont="1" applyFill="1" applyAlignment="1" applyProtection="1">
      <alignment horizontal="center" vertical="center"/>
      <protection locked="0"/>
    </xf>
    <xf numFmtId="1" fontId="21" fillId="0" borderId="0" xfId="0" applyNumberFormat="1" applyFont="1" applyAlignment="1" applyProtection="1">
      <alignment horizontal="center" vertical="center" wrapText="1"/>
      <protection locked="0"/>
    </xf>
    <xf numFmtId="49" fontId="21" fillId="0" borderId="0" xfId="0" applyNumberFormat="1" applyFont="1" applyAlignment="1" applyProtection="1">
      <alignment horizontal="center" vertical="center"/>
      <protection locked="0"/>
    </xf>
    <xf numFmtId="14" fontId="21" fillId="0" borderId="0" xfId="0" applyNumberFormat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13" fillId="0" borderId="1" xfId="1" applyFont="1" applyBorder="1" applyAlignment="1" applyProtection="1">
      <alignment horizontal="center" wrapText="1"/>
      <protection locked="0"/>
    </xf>
    <xf numFmtId="0" fontId="14" fillId="0" borderId="0" xfId="1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right"/>
      <protection locked="0"/>
    </xf>
    <xf numFmtId="0" fontId="10" fillId="0" borderId="0" xfId="0" applyFont="1" applyAlignment="1" applyProtection="1">
      <alignment horizontal="right"/>
      <protection locked="0"/>
    </xf>
    <xf numFmtId="0" fontId="11" fillId="0" borderId="0" xfId="0" applyFont="1" applyAlignment="1" applyProtection="1">
      <alignment horizontal="right"/>
      <protection locked="0"/>
    </xf>
    <xf numFmtId="16" fontId="12" fillId="0" borderId="0" xfId="1" applyNumberFormat="1" applyFont="1" applyAlignment="1" applyProtection="1">
      <alignment horizontal="right"/>
      <protection locked="0"/>
    </xf>
    <xf numFmtId="164" fontId="12" fillId="0" borderId="0" xfId="1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19" fillId="2" borderId="0" xfId="1" applyFont="1" applyFill="1" applyAlignment="1" applyProtection="1">
      <alignment horizontal="left" vertical="center" wrapText="1"/>
      <protection locked="0"/>
    </xf>
    <xf numFmtId="0" fontId="19" fillId="2" borderId="0" xfId="1" applyFont="1" applyFill="1" applyAlignment="1" applyProtection="1">
      <alignment horizontal="left" vertical="center"/>
      <protection locked="0"/>
    </xf>
  </cellXfs>
  <cellStyles count="4">
    <cellStyle name="Обычный" xfId="0" builtinId="0"/>
    <cellStyle name="Обычный 2" xfId="1" xr:uid="{00000000-0005-0000-0000-000002000000}"/>
    <cellStyle name="Обычный_Первомайская 112-114" xfId="2" xr:uid="{00000000-0005-0000-0000-000004000000}"/>
    <cellStyle name="TableStyleLight1" xfId="3" xr:uid="{00000000-0005-0000-0000-000000000000}"/>
  </cellStyles>
  <dxfs count="2">
    <dxf>
      <fill>
        <gradientFill degree="27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185057</xdr:colOff>
      <xdr:row>49</xdr:row>
      <xdr:rowOff>43542</xdr:rowOff>
    </xdr:from>
    <xdr:ext cx="875689" cy="6890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D81F13-4887-4070-9354-2047BCC0FDDC}"/>
                </a:ext>
              </a:extLst>
            </xdr:cNvPr>
            <xdr:cNvSpPr txBox="1"/>
          </xdr:nvSpPr>
          <xdr:spPr>
            <a:xfrm>
              <a:off x="8357507" y="12911817"/>
              <a:ext cx="875689" cy="6890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240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ru-RU" sz="2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2400" i="1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a:rPr lang="ru-RU" sz="240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</m:oMath>
                </m:oMathPara>
              </a14:m>
              <a:endParaRPr lang="ru-RU" sz="2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D81F13-4887-4070-9354-2047BCC0FDDC}"/>
                </a:ext>
              </a:extLst>
            </xdr:cNvPr>
            <xdr:cNvSpPr txBox="1"/>
          </xdr:nvSpPr>
          <xdr:spPr>
            <a:xfrm>
              <a:off x="8357507" y="12911817"/>
              <a:ext cx="875689" cy="6890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2400" i="0">
                  <a:latin typeface="Cambria Math" panose="02040503050406030204" pitchFamily="18" charset="0"/>
                </a:rPr>
                <a:t>𝑅=𝐹/𝐴</a:t>
              </a:r>
              <a:endParaRPr lang="ru-RU" sz="2400"/>
            </a:p>
          </xdr:txBody>
        </xdr:sp>
      </mc:Fallback>
    </mc:AlternateContent>
    <xdr:clientData/>
  </xdr:oneCellAnchor>
  <xdr:twoCellAnchor editAs="oneCell">
    <xdr:from>
      <xdr:col>2</xdr:col>
      <xdr:colOff>33617</xdr:colOff>
      <xdr:row>2</xdr:row>
      <xdr:rowOff>56028</xdr:rowOff>
    </xdr:from>
    <xdr:to>
      <xdr:col>12</xdr:col>
      <xdr:colOff>651542</xdr:colOff>
      <xdr:row>11</xdr:row>
      <xdr:rowOff>165636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67BE63B-9A3A-45FB-839A-E6D0EC75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717" y="665628"/>
          <a:ext cx="8942775" cy="2176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6EB1-465A-4253-8677-2A236EB4A4E3}">
  <dimension ref="C1:AN67"/>
  <sheetViews>
    <sheetView tabSelected="1" view="pageBreakPreview" topLeftCell="E57" zoomScale="113" zoomScaleNormal="100" zoomScaleSheetLayoutView="69" workbookViewId="0">
      <selection activeCell="R68" sqref="R68"/>
    </sheetView>
  </sheetViews>
  <sheetFormatPr baseColWidth="10" defaultColWidth="8.83203125" defaultRowHeight="13"/>
  <cols>
    <col min="1" max="2" width="8.83203125" style="6"/>
    <col min="3" max="3" width="9.6640625" style="6" customWidth="1"/>
    <col min="4" max="4" width="5.6640625" style="6" customWidth="1"/>
    <col min="5" max="5" width="28" style="6" customWidth="1"/>
    <col min="6" max="6" width="14.1640625" style="6" customWidth="1"/>
    <col min="7" max="7" width="11" style="6" customWidth="1"/>
    <col min="8" max="8" width="16.33203125" style="6" customWidth="1"/>
    <col min="9" max="16" width="10" style="6" customWidth="1"/>
    <col min="17" max="17" width="13.83203125" style="6" customWidth="1"/>
    <col min="18" max="18" width="37" style="6" customWidth="1"/>
    <col min="19" max="19" width="13" style="6" customWidth="1"/>
    <col min="20" max="20" width="11.33203125" style="6" customWidth="1"/>
    <col min="21" max="22" width="16.33203125" style="6" customWidth="1"/>
    <col min="23" max="23" width="13.1640625" style="6" customWidth="1"/>
    <col min="24" max="24" width="12" style="6" customWidth="1"/>
    <col min="25" max="16384" width="8.83203125" style="6"/>
  </cols>
  <sheetData>
    <row r="1" spans="13:39" ht="24.5" customHeight="1">
      <c r="AF1" s="10" t="s">
        <v>0</v>
      </c>
      <c r="AM1" s="11" t="s">
        <v>1</v>
      </c>
    </row>
    <row r="2" spans="13:39" ht="24.5" customHeight="1">
      <c r="AF2" s="6" t="s">
        <v>45</v>
      </c>
    </row>
    <row r="3" spans="13:39" ht="25">
      <c r="N3" s="12"/>
      <c r="O3" s="12"/>
      <c r="P3" s="12"/>
      <c r="Q3" s="12"/>
      <c r="R3" s="12"/>
      <c r="S3" s="94"/>
      <c r="T3" s="94"/>
      <c r="U3" s="95"/>
      <c r="V3" s="95"/>
      <c r="W3" s="95"/>
      <c r="X3" s="95"/>
      <c r="AF3" s="10" t="s">
        <v>44</v>
      </c>
    </row>
    <row r="4" spans="13:39" s="13" customFormat="1" ht="13.25" customHeight="1">
      <c r="N4" s="14"/>
      <c r="O4" s="14"/>
      <c r="P4" s="14"/>
      <c r="Q4" s="14"/>
      <c r="R4" s="14"/>
      <c r="S4" s="94"/>
      <c r="T4" s="94"/>
      <c r="U4" s="95"/>
      <c r="V4" s="95"/>
      <c r="W4" s="95"/>
      <c r="X4" s="95"/>
      <c r="Y4" s="6"/>
      <c r="Z4" s="6"/>
    </row>
    <row r="5" spans="13:39" s="15" customFormat="1" ht="27.5" customHeight="1">
      <c r="N5" s="14"/>
      <c r="O5" s="14"/>
      <c r="P5" s="14"/>
      <c r="Q5" s="14"/>
      <c r="R5" s="14"/>
      <c r="S5" s="94"/>
      <c r="T5" s="94"/>
      <c r="U5" s="95"/>
      <c r="V5" s="95"/>
      <c r="W5" s="95"/>
      <c r="X5" s="95"/>
      <c r="Y5" s="6"/>
      <c r="Z5" s="6"/>
      <c r="AF5" s="11"/>
    </row>
    <row r="6" spans="13:39" s="15" customFormat="1" ht="13.25" customHeight="1">
      <c r="N6" s="14"/>
      <c r="O6" s="14"/>
      <c r="P6" s="14"/>
      <c r="Q6" s="14"/>
      <c r="R6" s="14"/>
      <c r="S6" s="96"/>
      <c r="T6" s="96"/>
      <c r="U6" s="97"/>
      <c r="V6" s="97"/>
      <c r="W6" s="97"/>
      <c r="X6" s="97"/>
      <c r="Y6" s="97"/>
      <c r="Z6" s="97"/>
      <c r="AA6" s="97"/>
      <c r="AB6" s="97"/>
      <c r="AC6" s="97"/>
    </row>
    <row r="7" spans="13:39" s="15" customFormat="1" ht="13.25" customHeight="1">
      <c r="N7" s="14"/>
      <c r="O7" s="14"/>
      <c r="P7" s="14"/>
      <c r="Q7" s="14"/>
      <c r="R7" s="14"/>
      <c r="S7" s="96"/>
      <c r="T7" s="96"/>
      <c r="U7" s="97"/>
      <c r="V7" s="97"/>
      <c r="W7" s="97"/>
      <c r="X7" s="97"/>
      <c r="Y7" s="97"/>
      <c r="Z7" s="97"/>
      <c r="AA7" s="97"/>
      <c r="AB7" s="97"/>
      <c r="AC7" s="97"/>
    </row>
    <row r="8" spans="13:39" s="13" customFormat="1" ht="13.25" customHeight="1">
      <c r="N8" s="14"/>
      <c r="O8" s="14"/>
      <c r="P8" s="14"/>
      <c r="Q8" s="14"/>
      <c r="R8" s="14"/>
      <c r="S8" s="96"/>
      <c r="T8" s="96"/>
      <c r="U8" s="98"/>
      <c r="V8" s="98"/>
      <c r="W8" s="98"/>
      <c r="X8" s="98"/>
      <c r="Y8" s="98"/>
      <c r="Z8" s="98"/>
      <c r="AA8" s="98"/>
      <c r="AB8" s="98"/>
      <c r="AC8" s="98"/>
    </row>
    <row r="9" spans="13:39" s="13" customFormat="1" ht="20" customHeight="1">
      <c r="M9" s="16"/>
      <c r="N9" s="16"/>
      <c r="O9" s="16"/>
      <c r="P9" s="16"/>
      <c r="Q9" s="16"/>
      <c r="R9" s="16"/>
      <c r="S9" s="96"/>
      <c r="T9" s="96"/>
      <c r="U9" s="98"/>
      <c r="V9" s="98"/>
      <c r="W9" s="98"/>
      <c r="X9" s="98"/>
      <c r="Y9" s="98"/>
      <c r="Z9" s="98"/>
      <c r="AA9" s="98"/>
      <c r="AB9" s="98"/>
      <c r="AC9" s="98"/>
    </row>
    <row r="10" spans="13:39" s="13" customFormat="1" ht="20" customHeight="1">
      <c r="M10" s="17"/>
      <c r="N10" s="16"/>
      <c r="O10" s="16"/>
      <c r="P10" s="16"/>
      <c r="Q10" s="16"/>
      <c r="R10" s="16"/>
      <c r="S10" s="96"/>
      <c r="T10" s="96"/>
      <c r="U10" s="98"/>
      <c r="V10" s="98"/>
      <c r="W10" s="98"/>
      <c r="X10" s="98"/>
      <c r="Y10" s="98"/>
      <c r="Z10" s="98"/>
      <c r="AA10" s="98"/>
      <c r="AB10" s="98"/>
      <c r="AC10" s="98"/>
    </row>
    <row r="11" spans="13:39" s="13" customFormat="1" ht="20" customHeight="1">
      <c r="M11" s="17"/>
      <c r="N11" s="16"/>
      <c r="O11" s="16"/>
      <c r="P11" s="16"/>
      <c r="Q11" s="16"/>
      <c r="R11" s="16"/>
      <c r="S11" s="96"/>
      <c r="T11" s="96"/>
      <c r="U11" s="98"/>
      <c r="V11" s="98"/>
      <c r="W11" s="98"/>
      <c r="X11" s="98"/>
      <c r="Y11" s="98"/>
      <c r="Z11" s="98"/>
      <c r="AA11" s="98"/>
      <c r="AB11" s="98"/>
      <c r="AC11" s="98"/>
    </row>
    <row r="12" spans="13:39" s="13" customFormat="1" ht="20" customHeight="1">
      <c r="M12" s="18"/>
      <c r="N12" s="18"/>
      <c r="O12" s="18"/>
      <c r="P12" s="18"/>
      <c r="Q12" s="18"/>
      <c r="R12" s="18"/>
      <c r="S12" s="96"/>
      <c r="T12" s="96"/>
      <c r="U12" s="98"/>
      <c r="V12" s="98"/>
      <c r="W12" s="98"/>
      <c r="X12" s="98"/>
      <c r="Y12" s="98"/>
      <c r="Z12" s="98"/>
      <c r="AA12" s="98"/>
      <c r="AB12" s="98"/>
      <c r="AC12" s="98"/>
    </row>
    <row r="13" spans="13:39" s="13" customFormat="1" ht="20" customHeight="1">
      <c r="M13" s="18"/>
      <c r="N13" s="18"/>
      <c r="O13" s="18"/>
      <c r="P13" s="18"/>
      <c r="Q13" s="18"/>
      <c r="R13" s="18"/>
      <c r="S13" s="1"/>
      <c r="T13" s="1"/>
      <c r="U13" s="8"/>
      <c r="V13" s="8"/>
      <c r="W13" s="8"/>
      <c r="X13" s="8"/>
      <c r="Y13" s="8"/>
      <c r="Z13" s="8"/>
      <c r="AA13" s="8"/>
      <c r="AB13" s="8"/>
      <c r="AC13" s="8"/>
    </row>
    <row r="14" spans="13:39" s="13" customFormat="1" ht="20" customHeight="1">
      <c r="M14" s="88"/>
      <c r="N14" s="88"/>
      <c r="O14" s="88"/>
      <c r="P14" s="89"/>
      <c r="Q14" s="89"/>
      <c r="R14" s="89"/>
      <c r="S14" s="1"/>
      <c r="T14" s="1"/>
      <c r="U14" s="2"/>
      <c r="V14" s="2"/>
      <c r="W14" s="2"/>
      <c r="X14" s="2"/>
      <c r="Y14" s="6"/>
      <c r="Z14" s="6"/>
    </row>
    <row r="15" spans="13:39" s="13" customFormat="1" ht="20" customHeight="1">
      <c r="M15" s="3"/>
      <c r="N15" s="9"/>
      <c r="O15" s="9"/>
      <c r="P15" s="89" t="s">
        <v>2</v>
      </c>
      <c r="Q15" s="89"/>
      <c r="R15" s="89"/>
      <c r="S15" s="1"/>
      <c r="T15" s="1"/>
      <c r="U15" s="2"/>
      <c r="V15" s="2"/>
      <c r="W15" s="2"/>
      <c r="X15" s="2"/>
      <c r="Y15" s="6"/>
      <c r="Z15" s="6"/>
    </row>
    <row r="16" spans="13:39" s="13" customFormat="1" ht="20" customHeight="1">
      <c r="M16" s="3"/>
      <c r="N16" s="3"/>
      <c r="O16" s="3"/>
      <c r="P16" s="3"/>
      <c r="Q16" s="3"/>
      <c r="R16" s="3" t="s">
        <v>46</v>
      </c>
      <c r="S16" s="1"/>
      <c r="T16" s="1"/>
      <c r="U16" s="2"/>
      <c r="V16" s="2"/>
      <c r="W16" s="2"/>
      <c r="X16" s="2"/>
      <c r="Y16" s="6"/>
      <c r="Z16" s="6"/>
    </row>
    <row r="17" spans="3:40" s="13" customFormat="1" ht="20" customHeight="1">
      <c r="M17" s="90" t="s">
        <v>49</v>
      </c>
      <c r="N17" s="90"/>
      <c r="O17" s="90"/>
      <c r="P17" s="90"/>
      <c r="Q17" s="90"/>
      <c r="R17" s="90"/>
    </row>
    <row r="18" spans="3:40" s="13" customFormat="1" ht="20" customHeight="1">
      <c r="M18" s="90" t="s">
        <v>50</v>
      </c>
      <c r="N18" s="90"/>
      <c r="O18" s="90"/>
      <c r="P18" s="90"/>
      <c r="Q18" s="90"/>
      <c r="R18" s="90"/>
    </row>
    <row r="19" spans="3:40" s="13" customFormat="1" ht="20" customHeight="1">
      <c r="M19" s="91"/>
      <c r="N19" s="91"/>
      <c r="O19" s="91"/>
      <c r="P19" s="91"/>
      <c r="Q19" s="91"/>
      <c r="R19" s="91"/>
    </row>
    <row r="20" spans="3:40" s="13" customFormat="1" ht="16.5" customHeight="1">
      <c r="AI20" s="6"/>
      <c r="AJ20" s="6"/>
      <c r="AK20" s="6"/>
      <c r="AL20" s="6"/>
      <c r="AM20" s="6"/>
      <c r="AN20" s="6"/>
    </row>
    <row r="21" spans="3:40" s="13" customFormat="1" ht="20" customHeight="1">
      <c r="AH21" s="6"/>
      <c r="AI21" s="6"/>
      <c r="AJ21" s="6"/>
      <c r="AK21" s="6"/>
      <c r="AL21" s="6"/>
      <c r="AM21" s="6"/>
      <c r="AN21" s="6"/>
    </row>
    <row r="22" spans="3:40" s="13" customFormat="1" ht="20">
      <c r="C22" s="19"/>
      <c r="D22" s="19"/>
      <c r="E22" s="19"/>
      <c r="F22" s="20"/>
      <c r="G22" s="20"/>
      <c r="H22" s="92" t="s">
        <v>51</v>
      </c>
      <c r="I22" s="92"/>
      <c r="J22" s="92"/>
      <c r="K22" s="92"/>
      <c r="L22" s="92"/>
      <c r="M22" s="93" t="e">
        <f>#REF!</f>
        <v>#REF!</v>
      </c>
      <c r="N22" s="93"/>
      <c r="AH22" s="85"/>
      <c r="AI22" s="85"/>
      <c r="AJ22" s="85"/>
      <c r="AK22" s="85"/>
      <c r="AL22" s="85"/>
      <c r="AM22" s="85"/>
      <c r="AN22" s="85"/>
    </row>
    <row r="23" spans="3:40" s="13" customFormat="1" ht="20">
      <c r="C23" s="86" t="s">
        <v>3</v>
      </c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AH23" s="85"/>
      <c r="AI23" s="85"/>
      <c r="AJ23" s="85"/>
      <c r="AK23" s="85"/>
      <c r="AL23" s="85"/>
      <c r="AM23" s="85"/>
      <c r="AN23" s="85"/>
    </row>
    <row r="24" spans="3:40" s="13" customFormat="1" ht="23">
      <c r="C24" s="87" t="s">
        <v>4</v>
      </c>
      <c r="D24" s="87"/>
      <c r="E24" s="87"/>
      <c r="F24" s="87"/>
      <c r="G24" s="87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/>
      <c r="W24" s="23"/>
      <c r="X24" s="24"/>
      <c r="Y24" s="21"/>
      <c r="Z24" s="25"/>
      <c r="AA24" s="26"/>
      <c r="AH24" s="85"/>
      <c r="AI24" s="85"/>
      <c r="AJ24" s="85"/>
      <c r="AK24" s="85"/>
      <c r="AL24" s="85"/>
      <c r="AM24" s="85"/>
      <c r="AN24" s="85"/>
    </row>
    <row r="25" spans="3:40" s="13" customFormat="1" ht="45" customHeight="1">
      <c r="C25" s="99" t="str">
        <f>"1.1. Строительный объект: "&amp;U25&amp;"."</f>
        <v>1.1. Строительный объект: «Лабораторное сопровождение на объекте: Многофункциональный жилой комплекс. Этап 1» по адресу: г. Москва, Ильменский пр., вл. 8, к. 3, з/у 8А, з/у 10/1, в том числе: Корпус 3 (башня С) (40-5 этажей); Подземная автостоянка в границах этапа 1 (2 этажа)».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76" t="s">
        <v>5</v>
      </c>
      <c r="T25" s="77"/>
      <c r="U25" s="78" t="s">
        <v>52</v>
      </c>
      <c r="V25" s="78"/>
      <c r="W25" s="78"/>
      <c r="X25" s="78"/>
      <c r="Y25" s="78"/>
      <c r="Z25" s="27"/>
      <c r="AA25" s="27"/>
    </row>
    <row r="26" spans="3:40" s="13" customFormat="1" ht="18">
      <c r="C26" s="100" t="str">
        <f>"1.2. Заказчик: "&amp;U27&amp;"."</f>
        <v>1.2. Заказчик: ООО «АК-БИЛДИНГ».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76"/>
      <c r="T26" s="77"/>
      <c r="U26" s="78"/>
      <c r="V26" s="78"/>
      <c r="W26" s="78"/>
      <c r="X26" s="78"/>
      <c r="Y26" s="78"/>
      <c r="Z26" s="28"/>
      <c r="AA26" s="28"/>
    </row>
    <row r="27" spans="3:40" s="13" customFormat="1" ht="18">
      <c r="C27" s="100" t="str">
        <f>"1.3. Основание для выполнения работ: договор "&amp;U29&amp;""</f>
        <v>1.3. Основание для выполнения работ: договор № 08-ИЛ/24 от 07 марта 2024г.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76" t="s">
        <v>6</v>
      </c>
      <c r="T27" s="77"/>
      <c r="U27" s="78" t="s">
        <v>53</v>
      </c>
      <c r="V27" s="78"/>
      <c r="W27" s="78"/>
      <c r="X27" s="78"/>
      <c r="Y27" s="78"/>
      <c r="Z27" s="28"/>
      <c r="AA27" s="28"/>
    </row>
    <row r="28" spans="3:40" s="13" customFormat="1" ht="18" customHeight="1">
      <c r="C28" s="75" t="s">
        <v>48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6"/>
      <c r="T28" s="77"/>
      <c r="U28" s="78"/>
      <c r="V28" s="78"/>
      <c r="W28" s="78"/>
      <c r="X28" s="78"/>
      <c r="Y28" s="78"/>
      <c r="Z28" s="29"/>
      <c r="AA28" s="29"/>
    </row>
    <row r="29" spans="3:40" s="13" customFormat="1" ht="18">
      <c r="C29" s="75" t="s">
        <v>7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6" t="s">
        <v>8</v>
      </c>
      <c r="T29" s="77"/>
      <c r="U29" s="78" t="s">
        <v>54</v>
      </c>
      <c r="V29" s="78"/>
      <c r="W29" s="78"/>
      <c r="X29" s="78"/>
      <c r="Y29" s="78"/>
      <c r="Z29" s="29"/>
      <c r="AA29" s="29"/>
    </row>
    <row r="30" spans="3:40" s="13" customFormat="1" ht="56" customHeight="1">
      <c r="C30" s="79" t="s">
        <v>9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6"/>
      <c r="T30" s="77"/>
      <c r="U30" s="78"/>
      <c r="V30" s="78"/>
      <c r="W30" s="78"/>
      <c r="X30" s="78"/>
      <c r="Y30" s="78"/>
      <c r="Z30" s="29"/>
      <c r="AA30" s="29"/>
    </row>
    <row r="31" spans="3:40" s="13" customFormat="1" ht="18" customHeight="1">
      <c r="C31" s="80" t="e">
        <f>"1.7. Оборудование и оснащение: измеритель адгезии "&amp;U35&amp;", зав. № "&amp;V35&amp;", действителен до "&amp;IF(W35&lt;M22,"ПОМЕНЯТЬ ДАТУ ПОВЕРКИ, ПОВЕРКА ПРОСРОЧЕНА",TEXT(W35,"дд.ММ.гг"))&amp;"г."</f>
        <v>#REF!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1"/>
      <c r="T31" s="81"/>
      <c r="U31" s="82"/>
      <c r="V31" s="83"/>
      <c r="W31" s="84"/>
    </row>
    <row r="32" spans="3:40" s="13" customFormat="1" ht="18"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81"/>
      <c r="T32" s="81"/>
      <c r="U32" s="82"/>
      <c r="V32" s="83"/>
      <c r="W32" s="84"/>
    </row>
    <row r="33" spans="3:27" s="13" customFormat="1" ht="18">
      <c r="C33" s="65" t="s">
        <v>10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4"/>
      <c r="T33" s="4"/>
      <c r="U33" s="66" t="s">
        <v>11</v>
      </c>
      <c r="V33" s="66" t="s">
        <v>12</v>
      </c>
      <c r="W33" s="66" t="s">
        <v>13</v>
      </c>
    </row>
    <row r="34" spans="3:27" s="13" customFormat="1" ht="18"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4"/>
      <c r="T34" s="4"/>
      <c r="U34" s="67"/>
      <c r="V34" s="67"/>
      <c r="W34" s="67"/>
    </row>
    <row r="35" spans="3:27" s="13" customFormat="1" ht="18"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9" t="s">
        <v>14</v>
      </c>
      <c r="T35" s="70"/>
      <c r="U35" s="71" t="s">
        <v>15</v>
      </c>
      <c r="V35" s="72">
        <v>1916</v>
      </c>
      <c r="W35" s="74">
        <v>45423</v>
      </c>
    </row>
    <row r="36" spans="3:27" s="13" customFormat="1" ht="15.5" customHeight="1">
      <c r="C36" s="19"/>
      <c r="D36" s="19"/>
      <c r="E36" s="19"/>
      <c r="F36" s="19"/>
      <c r="G36" s="19"/>
      <c r="H36" s="19"/>
      <c r="I36" s="31"/>
      <c r="J36" s="31"/>
      <c r="K36" s="32"/>
      <c r="L36" s="32"/>
      <c r="M36" s="19"/>
      <c r="O36" s="19"/>
      <c r="P36" s="19"/>
      <c r="Q36" s="19"/>
      <c r="R36" s="33"/>
      <c r="S36" s="69"/>
      <c r="T36" s="70"/>
      <c r="U36" s="71"/>
      <c r="V36" s="73"/>
      <c r="W36" s="74"/>
    </row>
    <row r="37" spans="3:27" s="13" customFormat="1" ht="21" customHeight="1">
      <c r="C37" s="34"/>
      <c r="D37" s="58" t="s">
        <v>47</v>
      </c>
      <c r="E37" s="58"/>
      <c r="F37" s="58"/>
      <c r="G37" s="5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35"/>
      <c r="T37" s="35"/>
      <c r="U37" s="35"/>
      <c r="V37" s="35"/>
      <c r="W37" s="35"/>
      <c r="X37" s="35"/>
      <c r="Y37" s="35"/>
      <c r="Z37" s="35"/>
      <c r="AA37" s="35"/>
    </row>
    <row r="38" spans="3:27" s="13" customFormat="1" ht="21" customHeight="1">
      <c r="C38" s="3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35"/>
      <c r="T38" s="35"/>
      <c r="U38" s="35"/>
      <c r="V38" s="35"/>
      <c r="W38" s="35"/>
      <c r="X38" s="35"/>
      <c r="Y38" s="35"/>
      <c r="Z38" s="35"/>
      <c r="AA38" s="35"/>
    </row>
    <row r="39" spans="3:27" s="13" customFormat="1" ht="21" customHeight="1">
      <c r="C39" s="3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35"/>
      <c r="T39" s="35"/>
      <c r="U39" s="35"/>
      <c r="V39" s="35"/>
      <c r="W39" s="35"/>
      <c r="X39" s="35"/>
      <c r="Y39" s="35"/>
      <c r="Z39" s="35"/>
      <c r="AA39" s="35"/>
    </row>
    <row r="40" spans="3:27" s="13" customFormat="1" ht="21" customHeight="1">
      <c r="C40" s="34"/>
      <c r="D40" s="58"/>
      <c r="E40" s="58"/>
      <c r="F40" s="58"/>
      <c r="G40" s="5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35"/>
      <c r="T40" s="35"/>
      <c r="U40" s="35"/>
      <c r="V40" s="35"/>
      <c r="W40" s="35"/>
      <c r="X40" s="35"/>
      <c r="Y40" s="35"/>
      <c r="Z40" s="35"/>
      <c r="AA40" s="35"/>
    </row>
    <row r="41" spans="3:27" s="13" customFormat="1" ht="21" customHeight="1">
      <c r="C41" s="3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35"/>
      <c r="T41" s="35"/>
      <c r="U41" s="35"/>
      <c r="V41" s="35"/>
      <c r="W41" s="35"/>
      <c r="X41" s="35"/>
      <c r="Y41" s="35"/>
      <c r="Z41" s="35"/>
      <c r="AA41" s="35"/>
    </row>
    <row r="42" spans="3:27" s="13" customFormat="1" ht="21" customHeight="1">
      <c r="C42" s="34"/>
      <c r="D42" s="58"/>
      <c r="E42" s="58"/>
      <c r="F42" s="58"/>
      <c r="G42" s="5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35"/>
      <c r="T42" s="35"/>
      <c r="U42" s="49"/>
      <c r="V42" s="49"/>
      <c r="W42" s="49"/>
      <c r="X42" s="35"/>
      <c r="Y42" s="35"/>
      <c r="Z42" s="35"/>
      <c r="AA42" s="35"/>
    </row>
    <row r="43" spans="3:27" s="13" customFormat="1" ht="21" customHeight="1">
      <c r="C43" s="64" t="s">
        <v>16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35"/>
      <c r="T43" s="35"/>
      <c r="U43" s="36"/>
      <c r="V43" s="36"/>
      <c r="W43" s="36"/>
      <c r="X43" s="35"/>
      <c r="Y43" s="35"/>
      <c r="Z43" s="35"/>
      <c r="AA43" s="35"/>
    </row>
    <row r="44" spans="3:27" s="13" customFormat="1" ht="21" customHeight="1">
      <c r="C44" s="57" t="s">
        <v>17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35"/>
      <c r="T44" s="35"/>
      <c r="U44" s="36"/>
      <c r="V44" s="36"/>
      <c r="W44" s="36"/>
      <c r="X44" s="35"/>
      <c r="Y44" s="35"/>
      <c r="Z44" s="35"/>
      <c r="AA44" s="35"/>
    </row>
    <row r="45" spans="3:27" s="13" customFormat="1" ht="21" customHeight="1"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35"/>
      <c r="T45" s="35"/>
      <c r="U45" s="36"/>
      <c r="V45" s="36"/>
      <c r="W45" s="36"/>
      <c r="X45" s="35"/>
      <c r="Y45" s="35"/>
      <c r="Z45" s="35"/>
      <c r="AA45" s="35"/>
    </row>
    <row r="46" spans="3:27" s="13" customFormat="1" ht="18">
      <c r="C46" s="59" t="s">
        <v>18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35"/>
      <c r="T46" s="35"/>
      <c r="U46" s="36"/>
      <c r="V46" s="36"/>
      <c r="W46" s="36"/>
      <c r="X46" s="35"/>
      <c r="Y46" s="35"/>
      <c r="Z46" s="35"/>
      <c r="AA46" s="35"/>
    </row>
    <row r="47" spans="3:27" s="13" customFormat="1" ht="18"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35"/>
      <c r="T47" s="35"/>
      <c r="U47" s="36"/>
      <c r="V47" s="36"/>
      <c r="W47" s="36"/>
      <c r="X47" s="35"/>
      <c r="Y47" s="35"/>
      <c r="Z47" s="35"/>
      <c r="AA47" s="35"/>
    </row>
    <row r="48" spans="3:27" s="13" customFormat="1" ht="18">
      <c r="C48" s="59" t="s">
        <v>19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35"/>
      <c r="T48" s="35"/>
      <c r="U48" s="36"/>
      <c r="V48" s="36"/>
      <c r="W48" s="36"/>
      <c r="X48" s="35"/>
      <c r="Y48" s="35"/>
      <c r="Z48" s="35"/>
      <c r="AA48" s="35"/>
    </row>
    <row r="49" spans="3:27" s="13" customFormat="1" ht="18">
      <c r="C49" s="59" t="s">
        <v>20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35"/>
      <c r="T49" s="35"/>
      <c r="U49" s="36"/>
      <c r="V49" s="36"/>
      <c r="W49" s="36"/>
      <c r="X49" s="35"/>
      <c r="Y49" s="35"/>
      <c r="Z49" s="35"/>
      <c r="AA49" s="35"/>
    </row>
    <row r="50" spans="3:27" s="13" customFormat="1" ht="21" customHeight="1">
      <c r="C50" s="3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35"/>
      <c r="T50" s="35"/>
      <c r="U50" s="36"/>
      <c r="V50" s="36"/>
      <c r="W50" s="36"/>
      <c r="X50" s="35"/>
      <c r="Y50" s="35"/>
      <c r="Z50" s="35"/>
      <c r="AA50" s="35"/>
    </row>
    <row r="51" spans="3:27" s="13" customFormat="1" ht="21" customHeight="1">
      <c r="C51" s="3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35"/>
      <c r="T51" s="35"/>
      <c r="U51" s="36"/>
      <c r="V51" s="36"/>
      <c r="W51" s="36"/>
      <c r="X51" s="35"/>
      <c r="Y51" s="35"/>
      <c r="Z51" s="35"/>
      <c r="AA51" s="35"/>
    </row>
    <row r="52" spans="3:27" s="13" customFormat="1" ht="21" customHeight="1">
      <c r="C52" s="3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35"/>
      <c r="T52" s="35"/>
      <c r="U52" s="36"/>
      <c r="V52" s="36"/>
      <c r="W52" s="36"/>
      <c r="X52" s="35"/>
      <c r="Y52" s="35"/>
      <c r="Z52" s="35"/>
      <c r="AA52" s="35"/>
    </row>
    <row r="53" spans="3:27" s="13" customFormat="1" ht="21" customHeight="1">
      <c r="C53" s="34"/>
      <c r="D53" s="63" t="s">
        <v>21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35"/>
      <c r="T53" s="35"/>
      <c r="U53" s="36"/>
      <c r="V53" s="36"/>
      <c r="W53" s="36"/>
      <c r="X53" s="35"/>
      <c r="Y53" s="35"/>
      <c r="Z53" s="35"/>
      <c r="AA53" s="35"/>
    </row>
    <row r="54" spans="3:27" s="13" customFormat="1" ht="18">
      <c r="C54" s="34"/>
      <c r="D54" s="63" t="s">
        <v>22</v>
      </c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35"/>
      <c r="T54" s="35"/>
      <c r="U54" s="36"/>
      <c r="V54" s="36"/>
      <c r="W54" s="36"/>
      <c r="X54" s="35"/>
      <c r="Y54" s="35"/>
      <c r="Z54" s="35"/>
      <c r="AA54" s="35"/>
    </row>
    <row r="55" spans="3:27" s="13" customFormat="1" ht="21" customHeight="1">
      <c r="C55" s="34" t="s">
        <v>23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35"/>
      <c r="T55" s="35"/>
      <c r="U55" s="36"/>
      <c r="V55" s="36"/>
      <c r="W55" s="36"/>
      <c r="X55" s="35"/>
      <c r="Y55" s="35"/>
      <c r="Z55" s="35"/>
      <c r="AA55" s="35"/>
    </row>
    <row r="56" spans="3:27" s="13" customFormat="1" ht="18">
      <c r="C56" s="57" t="s">
        <v>24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35"/>
      <c r="T56" s="35"/>
      <c r="U56" s="36"/>
      <c r="V56" s="36"/>
      <c r="W56" s="36"/>
      <c r="X56" s="35"/>
      <c r="Y56" s="35"/>
      <c r="Z56" s="35"/>
      <c r="AA56" s="35"/>
    </row>
    <row r="57" spans="3:27" s="13" customFormat="1" ht="18"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35"/>
      <c r="T57" s="35"/>
      <c r="U57" s="36"/>
      <c r="V57" s="36"/>
      <c r="W57" s="36"/>
      <c r="X57" s="35"/>
      <c r="Y57" s="35"/>
      <c r="Z57" s="35"/>
      <c r="AA57" s="35"/>
    </row>
    <row r="58" spans="3:27" s="13" customFormat="1" ht="18"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35"/>
      <c r="T58" s="35"/>
      <c r="U58" s="36"/>
      <c r="V58" s="36"/>
      <c r="W58" s="36"/>
      <c r="X58" s="35"/>
      <c r="Y58" s="35"/>
      <c r="Z58" s="35"/>
      <c r="AA58" s="35"/>
    </row>
    <row r="59" spans="3:27" s="13" customFormat="1" ht="30.75" customHeight="1">
      <c r="C59" s="59" t="s">
        <v>25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35"/>
      <c r="T59" s="35"/>
      <c r="U59" s="36"/>
      <c r="V59" s="36"/>
      <c r="W59" s="36"/>
      <c r="X59" s="35"/>
      <c r="Y59" s="35"/>
      <c r="Z59" s="35"/>
      <c r="AA59" s="35"/>
    </row>
    <row r="60" spans="3:27" s="13" customFormat="1" ht="21" customHeight="1">
      <c r="C60" s="59" t="s">
        <v>26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35"/>
      <c r="T60" s="35"/>
      <c r="U60" s="36"/>
      <c r="V60" s="36"/>
      <c r="W60" s="36"/>
      <c r="X60" s="35"/>
      <c r="Y60" s="35"/>
      <c r="Z60" s="35"/>
      <c r="AA60" s="35"/>
    </row>
    <row r="61" spans="3:27" s="13" customFormat="1" ht="21" customHeight="1">
      <c r="C61" s="59" t="s">
        <v>27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35"/>
      <c r="T61" s="35"/>
      <c r="U61" s="36"/>
      <c r="V61" s="36"/>
      <c r="W61" s="36"/>
      <c r="X61" s="35"/>
      <c r="Y61" s="35"/>
      <c r="Z61" s="35"/>
      <c r="AA61" s="35"/>
    </row>
    <row r="62" spans="3:27" s="13" customFormat="1" ht="21" customHeight="1">
      <c r="C62" s="3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35"/>
      <c r="T62" s="35"/>
      <c r="U62" s="36"/>
      <c r="V62" s="36"/>
      <c r="W62" s="36"/>
      <c r="X62" s="35"/>
      <c r="Y62" s="35"/>
      <c r="Z62" s="35"/>
      <c r="AA62" s="35"/>
    </row>
    <row r="63" spans="3:27" s="13" customFormat="1" ht="21" customHeight="1">
      <c r="C63" s="61" t="s">
        <v>28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35"/>
      <c r="T63" s="35"/>
      <c r="U63" s="36"/>
      <c r="V63" s="36"/>
      <c r="W63" s="36"/>
      <c r="X63" s="35"/>
      <c r="Y63" s="35"/>
      <c r="Z63" s="35"/>
      <c r="AA63" s="35"/>
    </row>
    <row r="64" spans="3:27" ht="18" customHeight="1">
      <c r="C64" s="62" t="s">
        <v>29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37" t="s">
        <v>30</v>
      </c>
    </row>
    <row r="65" spans="3:23" ht="54.75" customHeight="1">
      <c r="C65" s="38" t="s">
        <v>31</v>
      </c>
      <c r="D65" s="53" t="s">
        <v>32</v>
      </c>
      <c r="E65" s="53"/>
      <c r="F65" s="40" t="s">
        <v>33</v>
      </c>
      <c r="G65" s="53" t="s">
        <v>34</v>
      </c>
      <c r="H65" s="53"/>
      <c r="I65" s="54" t="s">
        <v>35</v>
      </c>
      <c r="J65" s="54"/>
      <c r="K65" s="53" t="s">
        <v>36</v>
      </c>
      <c r="L65" s="53"/>
      <c r="M65" s="55" t="s">
        <v>37</v>
      </c>
      <c r="N65" s="56"/>
      <c r="O65" s="53" t="s">
        <v>38</v>
      </c>
      <c r="P65" s="53"/>
      <c r="Q65" s="40" t="s">
        <v>39</v>
      </c>
      <c r="R65" s="39" t="s">
        <v>40</v>
      </c>
      <c r="S65" s="7" t="s">
        <v>41</v>
      </c>
      <c r="T65" s="7" t="s">
        <v>42</v>
      </c>
      <c r="U65" s="41"/>
      <c r="V65" s="49" t="s">
        <v>43</v>
      </c>
      <c r="W65" s="49"/>
    </row>
    <row r="66" spans="3:23" s="45" customFormat="1" ht="14" customHeight="1">
      <c r="C66" s="42">
        <v>1</v>
      </c>
      <c r="D66" s="50">
        <v>2</v>
      </c>
      <c r="E66" s="50"/>
      <c r="F66" s="42">
        <v>3</v>
      </c>
      <c r="G66" s="50">
        <v>4</v>
      </c>
      <c r="H66" s="50"/>
      <c r="I66" s="50">
        <v>5</v>
      </c>
      <c r="J66" s="50"/>
      <c r="K66" s="50">
        <v>6</v>
      </c>
      <c r="L66" s="50"/>
      <c r="M66" s="51">
        <v>7</v>
      </c>
      <c r="N66" s="52"/>
      <c r="O66" s="50">
        <v>8</v>
      </c>
      <c r="P66" s="50"/>
      <c r="Q66" s="43">
        <v>9</v>
      </c>
      <c r="R66" s="43">
        <v>10</v>
      </c>
      <c r="S66" s="44">
        <v>11</v>
      </c>
      <c r="T66" s="44">
        <v>12</v>
      </c>
      <c r="V66" s="49"/>
      <c r="W66" s="49"/>
    </row>
    <row r="67" spans="3:23" ht="18">
      <c r="C67" s="46"/>
      <c r="D67" s="46"/>
      <c r="E67" s="47"/>
      <c r="F67" s="48"/>
      <c r="G67" s="48"/>
      <c r="H67" s="47"/>
      <c r="I67" s="47"/>
      <c r="J67" s="47"/>
      <c r="K67" s="46"/>
    </row>
  </sheetData>
  <sheetProtection formatCells="0" formatColumns="0" formatRows="0" insertColumns="0" insertRows="0" deleteColumns="0" deleteRows="0"/>
  <mergeCells count="79">
    <mergeCell ref="C25:R25"/>
    <mergeCell ref="S25:T26"/>
    <mergeCell ref="U25:Y26"/>
    <mergeCell ref="C26:R26"/>
    <mergeCell ref="C27:R27"/>
    <mergeCell ref="S27:T28"/>
    <mergeCell ref="U27:Y28"/>
    <mergeCell ref="C28:R28"/>
    <mergeCell ref="S9:T12"/>
    <mergeCell ref="U9:AC9"/>
    <mergeCell ref="U10:AC10"/>
    <mergeCell ref="U11:AC11"/>
    <mergeCell ref="U12:AC12"/>
    <mergeCell ref="S3:T5"/>
    <mergeCell ref="U3:X5"/>
    <mergeCell ref="S6:T8"/>
    <mergeCell ref="U6:AC7"/>
    <mergeCell ref="U8:AC8"/>
    <mergeCell ref="AH22:AN22"/>
    <mergeCell ref="C23:R23"/>
    <mergeCell ref="AH23:AN24"/>
    <mergeCell ref="C24:G24"/>
    <mergeCell ref="M14:O14"/>
    <mergeCell ref="P14:R14"/>
    <mergeCell ref="P15:R15"/>
    <mergeCell ref="M17:R17"/>
    <mergeCell ref="M18:R18"/>
    <mergeCell ref="M19:R19"/>
    <mergeCell ref="H22:L22"/>
    <mergeCell ref="M22:N22"/>
    <mergeCell ref="C29:R29"/>
    <mergeCell ref="S29:T30"/>
    <mergeCell ref="U29:Y30"/>
    <mergeCell ref="C30:R30"/>
    <mergeCell ref="C31:R31"/>
    <mergeCell ref="S31:T32"/>
    <mergeCell ref="U31:U32"/>
    <mergeCell ref="V31:V32"/>
    <mergeCell ref="W31:W32"/>
    <mergeCell ref="U42:W42"/>
    <mergeCell ref="C43:R43"/>
    <mergeCell ref="C44:R45"/>
    <mergeCell ref="C33:R33"/>
    <mergeCell ref="U33:U34"/>
    <mergeCell ref="V33:V34"/>
    <mergeCell ref="W33:W34"/>
    <mergeCell ref="C34:R34"/>
    <mergeCell ref="C35:R35"/>
    <mergeCell ref="S35:T36"/>
    <mergeCell ref="U35:U36"/>
    <mergeCell ref="V35:V36"/>
    <mergeCell ref="W35:W36"/>
    <mergeCell ref="C56:R58"/>
    <mergeCell ref="D37:G37"/>
    <mergeCell ref="D40:G40"/>
    <mergeCell ref="D42:G42"/>
    <mergeCell ref="O65:P65"/>
    <mergeCell ref="C59:R59"/>
    <mergeCell ref="C60:R60"/>
    <mergeCell ref="C61:R61"/>
    <mergeCell ref="C63:R63"/>
    <mergeCell ref="C64:Q64"/>
    <mergeCell ref="C46:R47"/>
    <mergeCell ref="C48:R48"/>
    <mergeCell ref="C49:R49"/>
    <mergeCell ref="D53:R53"/>
    <mergeCell ref="D54:R54"/>
    <mergeCell ref="V65:W66"/>
    <mergeCell ref="D66:E66"/>
    <mergeCell ref="G66:H66"/>
    <mergeCell ref="I66:J66"/>
    <mergeCell ref="K66:L66"/>
    <mergeCell ref="M66:N66"/>
    <mergeCell ref="O66:P66"/>
    <mergeCell ref="D65:E65"/>
    <mergeCell ref="G65:H65"/>
    <mergeCell ref="I65:J65"/>
    <mergeCell ref="K65:L65"/>
    <mergeCell ref="M65:N65"/>
  </mergeCells>
  <conditionalFormatting sqref="C31:R32">
    <cfRule type="expression" dxfId="1" priority="4">
      <formula>$W$35&lt;$M$22</formula>
    </cfRule>
  </conditionalFormatting>
  <conditionalFormatting sqref="U6:AC13">
    <cfRule type="expression" dxfId="0" priority="1" stopIfTrue="1">
      <formula>$AG$10&lt;F131</formula>
    </cfRule>
  </conditionalFormatting>
  <dataValidations count="1">
    <dataValidation type="list" allowBlank="1" showInputMessage="1" showErrorMessage="1" sqref="C34" xr:uid="{5FA7BD0E-F2A0-4C7E-BED2-38CDD72D874C}">
      <formula1>$AM$1:$AM$2</formula1>
    </dataValidation>
  </dataValidations>
  <printOptions horizontalCentered="1"/>
  <pageMargins left="0.11811023622047245" right="0.11811023622047245" top="0.27559055118110237" bottom="0.27559055118110237" header="0.31496062992125984" footer="0.31496062992125984"/>
  <pageSetup paperSize="9" scale="65" orientation="landscape" horizontalDpi="300" verticalDpi="300" r:id="rId1"/>
  <rowBreaks count="1" manualBreakCount="1">
    <brk id="41" min="2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№1</vt:lpstr>
      <vt:lpstr>№1!Область_печати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48</cp:lastModifiedBy>
  <cp:lastPrinted>2024-11-20T11:09:30Z</cp:lastPrinted>
  <dcterms:created xsi:type="dcterms:W3CDTF">2021-02-19T06:57:29Z</dcterms:created>
  <dcterms:modified xsi:type="dcterms:W3CDTF">2025-02-17T12:08:35Z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2025-01-29T16:57:24Z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2ef42b7c-5dfa-45ca-ae77-6564b8ffd44f</vt:lpwstr>
  </property>
  <property fmtid="{D5CDD505-2E9C-101B-9397-08002B2CF9AE}" pid="7" name="MSIP_Label_defa4170-0d19-0005-0004-bc88714345d2_ActionId">
    <vt:lpwstr>c53cd3a0-4800-4527-adc1-2336356784cf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